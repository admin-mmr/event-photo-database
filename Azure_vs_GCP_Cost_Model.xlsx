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st Comparison" sheetId="2" state="visible" r:id="rId4"/>
    <sheet name="Azure Under $100 Plan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<sst xmlns="http://schemas.openxmlformats.org/spreadsheetml/2006/main" count="215" uniqueCount="195">
  <si>
    <t xml:space="preserve">Event Photo Database - Cloud Cost Model: Assumptions &amp; Unit Prices</t>
  </si>
  <si>
    <t xml:space="preserve">All prices East US / Zone-1, USD, June 2026. Blue = input you can change. See Sources sheet for citations.</t>
  </si>
  <si>
    <t xml:space="preserve">SCALE ASSUMPTIONS (this org)</t>
  </si>
  <si>
    <t xml:space="preserve">Driver</t>
  </si>
  <si>
    <t xml:space="preserve">Value</t>
  </si>
  <si>
    <t xml:space="preserve">Unit</t>
  </si>
  <si>
    <t xml:space="preserve">Note</t>
  </si>
  <si>
    <t xml:space="preserve">Active admin users (MAU)</t>
  </si>
  <si>
    <t xml:space="preserve">users</t>
  </si>
  <si>
    <t xml:space="preserve">~50 verified admins per ARCHITECTURE.md</t>
  </si>
  <si>
    <t xml:space="preserve">DB reads / month</t>
  </si>
  <si>
    <t xml:space="preserve">reads</t>
  </si>
  <si>
    <t xml:space="preserve">~10k reads/day per GCP assessment</t>
  </si>
  <si>
    <t xml:space="preserve">DB writes / month</t>
  </si>
  <si>
    <t xml:space="preserve">writes</t>
  </si>
  <si>
    <t xml:space="preserve">~1k writes/day (admin edits, audit log)</t>
  </si>
  <si>
    <t xml:space="preserve">DB stored data</t>
  </si>
  <si>
    <t xml:space="preserve">GB</t>
  </si>
  <si>
    <t xml:space="preserve">events, clubs, photos metadata, audit log</t>
  </si>
  <si>
    <t xml:space="preserve">Photo originals stored</t>
  </si>
  <si>
    <t xml:space="preserve">primary photo library</t>
  </si>
  <si>
    <t xml:space="preserve">Photo egress to browsers / month</t>
  </si>
  <si>
    <t xml:space="preserve">WATCH ITEM - varies with traffic</t>
  </si>
  <si>
    <t xml:space="preserve">API requests / month</t>
  </si>
  <si>
    <t xml:space="preserve">requests</t>
  </si>
  <si>
    <t xml:space="preserve">light, read-heavy</t>
  </si>
  <si>
    <t xml:space="preserve">Indexer compute / month</t>
  </si>
  <si>
    <t xml:space="preserve">event runs</t>
  </si>
  <si>
    <t xml:space="preserve">Cloud Run Job / Container Apps Job bursts</t>
  </si>
  <si>
    <t xml:space="preserve">Matcher compute / month</t>
  </si>
  <si>
    <t xml:space="preserve">GB-hr equiv</t>
  </si>
  <si>
    <t xml:space="preserve">occasional face-match queries</t>
  </si>
  <si>
    <t xml:space="preserve">UNIT PRICES</t>
  </si>
  <si>
    <t xml:space="preserve">Item</t>
  </si>
  <si>
    <t xml:space="preserve">Price</t>
  </si>
  <si>
    <t xml:space="preserve">AZURE - Container Apps active vCPU-second</t>
  </si>
  <si>
    <t xml:space="preserve">$/vCPU-s</t>
  </si>
  <si>
    <t xml:space="preserve">after 180k free vCPU-s/mo</t>
  </si>
  <si>
    <t xml:space="preserve">AZURE - Container Apps active GiB-second</t>
  </si>
  <si>
    <t xml:space="preserve">$/GiB-s</t>
  </si>
  <si>
    <t xml:space="preserve">after 360k free GiB-s/mo</t>
  </si>
  <si>
    <t xml:space="preserve">AZURE - Container Apps requests</t>
  </si>
  <si>
    <t xml:space="preserve">$/million</t>
  </si>
  <si>
    <t xml:space="preserve">after 2M free/mo</t>
  </si>
  <si>
    <t xml:space="preserve">AZURE - Cosmos DB serverless Request Units</t>
  </si>
  <si>
    <t xml:space="preserve">$/million RU</t>
  </si>
  <si>
    <t xml:space="preserve">serverless has NO free tier</t>
  </si>
  <si>
    <t xml:space="preserve">AZURE - Cosmos DB serverless storage</t>
  </si>
  <si>
    <t xml:space="preserve">$/GB-mo</t>
  </si>
  <si>
    <t xml:space="preserve">AZURE - Blob Storage hot LRS</t>
  </si>
  <si>
    <t xml:space="preserve">Cool ~$0.01; Cold ~$0.0036</t>
  </si>
  <si>
    <t xml:space="preserve">AZURE - Egress (internet, first 10 TB)</t>
  </si>
  <si>
    <t xml:space="preserve">$/GB</t>
  </si>
  <si>
    <t xml:space="preserve">first 100 GB/mo is free</t>
  </si>
  <si>
    <t xml:space="preserve">AZURE - Static Web Apps (Free plan)</t>
  </si>
  <si>
    <t xml:space="preserve">$/mo</t>
  </si>
  <si>
    <t xml:space="preserve">100 GB bandwidth, free SSL+domain</t>
  </si>
  <si>
    <t xml:space="preserve">AZURE - Entra External ID</t>
  </si>
  <si>
    <t xml:space="preserve">free &lt;=50,000 MAU</t>
  </si>
  <si>
    <t xml:space="preserve">AZURE - Key Vault operations</t>
  </si>
  <si>
    <t xml:space="preserve">$/10k ops</t>
  </si>
  <si>
    <t xml:space="preserve">AZURE - Container Registry (Basic)</t>
  </si>
  <si>
    <t xml:space="preserve">fixed; 10 GB incl. (or use free GHCR)</t>
  </si>
  <si>
    <t xml:space="preserve">AZURE - Application Insights</t>
  </si>
  <si>
    <t xml:space="preserve">first 5 GB ingest/mo free</t>
  </si>
  <si>
    <t xml:space="preserve">AZURE - Front Door Standard base</t>
  </si>
  <si>
    <t xml:space="preserve">AVOID - not needed at this scale</t>
  </si>
  <si>
    <t xml:space="preserve">GCP - Cloud Run / Run Jobs</t>
  </si>
  <si>
    <t xml:space="preserve">within always-free grant at this scale</t>
  </si>
  <si>
    <t xml:space="preserve">GCP - Firestore reads</t>
  </si>
  <si>
    <t xml:space="preserve">$/100k</t>
  </si>
  <si>
    <t xml:space="preserve">GCP - Firestore writes</t>
  </si>
  <si>
    <t xml:space="preserve">GCP - Firestore storage</t>
  </si>
  <si>
    <t xml:space="preserve">GCP - Cloud Storage Standard</t>
  </si>
  <si>
    <t xml:space="preserve">GCP - Egress (internet)</t>
  </si>
  <si>
    <t xml:space="preserve">higher than Azure since May-2025 hike</t>
  </si>
  <si>
    <t xml:space="preserve">GCP - Firebase Hosting</t>
  </si>
  <si>
    <t xml:space="preserve">free tier</t>
  </si>
  <si>
    <t xml:space="preserve">GCP - Secret Manager + Artifact Registry</t>
  </si>
  <si>
    <t xml:space="preserve">approx fixed small</t>
  </si>
  <si>
    <t xml:space="preserve">GCP (target) vs Azure (proposed) - Monthly Cost at This Org's Scale</t>
  </si>
  <si>
    <t xml:space="preserve">List price = what you'd pay with no credit. Both clouds are effectively $0 while the nonprofit grant lasts.</t>
  </si>
  <si>
    <t xml:space="preserve">Layer</t>
  </si>
  <si>
    <t xml:space="preserve">GCP service</t>
  </si>
  <si>
    <t xml:space="preserve">Azure service</t>
  </si>
  <si>
    <t xml:space="preserve">GCP $/mo (list)</t>
  </si>
  <si>
    <t xml:space="preserve">Azure $/mo (list)</t>
  </si>
  <si>
    <t xml:space="preserve">Frontend hosting</t>
  </si>
  <si>
    <t xml:space="preserve">Firebase Hosting</t>
  </si>
  <si>
    <t xml:space="preserve">Static Web Apps (Free)</t>
  </si>
  <si>
    <t xml:space="preserve">Backend API</t>
  </si>
  <si>
    <t xml:space="preserve">Cloud Run</t>
  </si>
  <si>
    <t xml:space="preserve">Container Apps (Consumption)</t>
  </si>
  <si>
    <t xml:space="preserve">Face matcher</t>
  </si>
  <si>
    <t xml:space="preserve">Photo indexer</t>
  </si>
  <si>
    <t xml:space="preserve">Cloud Run Job</t>
  </si>
  <si>
    <t xml:space="preserve">Container Apps Job</t>
  </si>
  <si>
    <t xml:space="preserve">Database</t>
  </si>
  <si>
    <t xml:space="preserve">Firestore</t>
  </si>
  <si>
    <t xml:space="preserve">Cosmos DB (serverless)</t>
  </si>
  <si>
    <t xml:space="preserve">Auth</t>
  </si>
  <si>
    <t xml:space="preserve">Firebase Auth</t>
  </si>
  <si>
    <t xml:space="preserve">Entra External ID</t>
  </si>
  <si>
    <t xml:space="preserve">Photo storage</t>
  </si>
  <si>
    <t xml:space="preserve">Cloud Storage</t>
  </si>
  <si>
    <t xml:space="preserve">Blob Storage (hot LRS)</t>
  </si>
  <si>
    <t xml:space="preserve">Photo egress</t>
  </si>
  <si>
    <t xml:space="preserve">Cloud egress</t>
  </si>
  <si>
    <t xml:space="preserve">Blob egress (first 100GB free)</t>
  </si>
  <si>
    <t xml:space="preserve">Secrets</t>
  </si>
  <si>
    <t xml:space="preserve">Secret Manager</t>
  </si>
  <si>
    <t xml:space="preserve">Key Vault</t>
  </si>
  <si>
    <t xml:space="preserve">Container registry</t>
  </si>
  <si>
    <t xml:space="preserve">Artifact Registry</t>
  </si>
  <si>
    <t xml:space="preserve">Container Registry (Basic)</t>
  </si>
  <si>
    <t xml:space="preserve">Logging / monitoring</t>
  </si>
  <si>
    <t xml:space="preserve">Cloud Logging</t>
  </si>
  <si>
    <t xml:space="preserve">Application Insights</t>
  </si>
  <si>
    <t xml:space="preserve">TOTAL - list price (no credit)</t>
  </si>
  <si>
    <t xml:space="preserve">TOTAL - with nonprofit grant applied</t>
  </si>
  <si>
    <t xml:space="preserve">Notes:</t>
  </si>
  <si>
    <t xml:space="preserve">Compute (API, matcher, indexer) stays inside both clouds' always-free monthly grant at this traffic.</t>
  </si>
  <si>
    <t xml:space="preserve">GCP grant = $10,000/yr ($833/mo). Azure grant = $2,000/yr ($167/mo). Both dwarf the list total above.</t>
  </si>
  <si>
    <t xml:space="preserve">Egress is the only line that scales with traffic - Azure's first 100 GB/mo is free and its per-GB rate is lower than GCP's.</t>
  </si>
  <si>
    <t xml:space="preserve">Cosmos serverless has NO free tier; provisioned free tier (1,000 RU/s + 25 GB) would make the DB line $0 - see Under $100 Plan.</t>
  </si>
  <si>
    <t xml:space="preserve">Staying Under $100/month on Azure</t>
  </si>
  <si>
    <t xml:space="preserve">Existing Azure spend is already $65/mo, so the NEW workload must add &lt; $35/mo of un-credited cash.</t>
  </si>
  <si>
    <t xml:space="preserve">BUDGET MATH</t>
  </si>
  <si>
    <t xml:space="preserve">Target monthly ceiling</t>
  </si>
  <si>
    <t xml:space="preserve">Existing Azure spend (current)</t>
  </si>
  <si>
    <t xml:space="preserve">confirm: M365 licence (NOT grant-covered) vs Azure consumption (grant-covered)</t>
  </si>
  <si>
    <t xml:space="preserve">Headroom for new workload</t>
  </si>
  <si>
    <t xml:space="preserve">NEW AZURE WORKLOAD - recommended cheapest config</t>
  </si>
  <si>
    <t xml:space="preserve">Line item</t>
  </si>
  <si>
    <t xml:space="preserve">How it's kept low</t>
  </si>
  <si>
    <t xml:space="preserve">Static Web Apps (frontend)</t>
  </si>
  <si>
    <t xml:space="preserve">Free plan: 100 GB bandwidth, free TLS + custom domain</t>
  </si>
  <si>
    <t xml:space="preserve">Container Apps: API + matcher + indexer</t>
  </si>
  <si>
    <t xml:space="preserve">Consumption env, min-replicas=0 (scale to zero); rides 180k vCPU-s / 2M req free grant</t>
  </si>
  <si>
    <t xml:space="preserve">Cosmos DB</t>
  </si>
  <si>
    <t xml:space="preserve">Use PROVISIONED free tier (1,000 RU/s + 25 GB free, 1 per subscription) instead of serverless</t>
  </si>
  <si>
    <t xml:space="preserve">Blob Storage (100 GB, originals in Cool)</t>
  </si>
  <si>
    <t xml:space="preserve">Originals -&gt; Cool/Cold tier; serve only resized derivatives from Hot; LRS not GRS</t>
  </si>
  <si>
    <t xml:space="preserve">Egress</t>
  </si>
  <si>
    <t xml:space="preserve">First 100 GB/mo free; cache derivatives, never serve full-res originals to the browser</t>
  </si>
  <si>
    <t xml:space="preserve">Entra External ID (auth)</t>
  </si>
  <si>
    <t xml:space="preserve">Free under 50,000 MAU</t>
  </si>
  <si>
    <t xml:space="preserve">Pay-per-op, a few cents</t>
  </si>
  <si>
    <t xml:space="preserve">Container Registry</t>
  </si>
  <si>
    <t xml:space="preserve">Push images to GitHub Container Registry (free) and pull into Container Apps; or ACR Basic $5</t>
  </si>
  <si>
    <t xml:space="preserve">Application Insights / Log Analytics</t>
  </si>
  <si>
    <t xml:space="preserve">First 5 GB ingest/mo free; set 5 GB daily cap</t>
  </si>
  <si>
    <t xml:space="preserve">Front Door / CDN</t>
  </si>
  <si>
    <t xml:space="preserve">DO NOT provision Front Door Standard ($35/mo base) - use Static Web Apps' built-in CDN</t>
  </si>
  <si>
    <t xml:space="preserve">NEW workload subtotal (list, no grant)</t>
  </si>
  <si>
    <t xml:space="preserve">NEW workload after $2,000/yr grant ($167/mo)</t>
  </si>
  <si>
    <t xml:space="preserve">grant covers it ~80x over</t>
  </si>
  <si>
    <t xml:space="preserve">TOTAL monthly cash (existing + new, list)</t>
  </si>
  <si>
    <t xml:space="preserve">GRANT RUNWAY</t>
  </si>
  <si>
    <t xml:space="preserve">Annual grant</t>
  </si>
  <si>
    <t xml:space="preserve">New workload annual list cost</t>
  </si>
  <si>
    <t xml:space="preserve">Grant covers new workload for</t>
  </si>
  <si>
    <t xml:space="preserve">GUARDRAILS TO SET ON DAY 1</t>
  </si>
  <si>
    <t xml:space="preserve">- Azure Cost Management budget alert at $80/mo with 50/80/100% email thresholds.</t>
  </si>
  <si>
    <t xml:space="preserve">- Cost anomaly alert enabled (catches egress spikes - the classic nonprofit billing surprise).</t>
  </si>
  <si>
    <t xml:space="preserve">- Container Apps: max-replicas capped (e.g. 5) and min-replicas=0 on every app.</t>
  </si>
  <si>
    <t xml:space="preserve">- Storage: serve via SAS URLs with cache headers; lifecycle rule moves originals to Cool after 30 days.</t>
  </si>
  <si>
    <t xml:space="preserve">- Log Analytics daily cap = 5 GB so Application Insights ingest can't run away.</t>
  </si>
  <si>
    <t xml:space="preserve">Pricing Sources (accessed June 2026)</t>
  </si>
  <si>
    <t xml:space="preserve">Azure Container Apps pricing</t>
  </si>
  <si>
    <t xml:space="preserve">https://azure.microsoft.com/en-us/pricing/details/container-apps/</t>
  </si>
  <si>
    <t xml:space="preserve">Azure Cosmos DB serverless pricing</t>
  </si>
  <si>
    <t xml:space="preserve">https://azure.microsoft.com/en-us/pricing/details/cosmos-db/serverless/</t>
  </si>
  <si>
    <t xml:space="preserve">Azure Cosmos DB lifetime free tier</t>
  </si>
  <si>
    <t xml:space="preserve">https://learn.microsoft.com/en-us/azure/cosmos-db/free-tier</t>
  </si>
  <si>
    <t xml:space="preserve">Azure Blob Storage pricing</t>
  </si>
  <si>
    <t xml:space="preserve">https://azure.microsoft.com/en-us/pricing/details/storage/blobs/</t>
  </si>
  <si>
    <t xml:space="preserve">Azure bandwidth / egress pricing</t>
  </si>
  <si>
    <t xml:space="preserve">https://azure.microsoft.com/en-us/pricing/details/bandwidth/</t>
  </si>
  <si>
    <t xml:space="preserve">Azure Static Web Apps pricing</t>
  </si>
  <si>
    <t xml:space="preserve">https://azure.microsoft.com/en-us/pricing/details/app-service/static/</t>
  </si>
  <si>
    <t xml:space="preserve">Microsoft Entra External ID pricing</t>
  </si>
  <si>
    <t xml:space="preserve">https://azure.microsoft.com/en-us/pricing/details/microsoft-entra-external-id/</t>
  </si>
  <si>
    <t xml:space="preserve">Azure Key Vault pricing</t>
  </si>
  <si>
    <t xml:space="preserve">https://azure.microsoft.com/en-us/pricing/details/key-vault/</t>
  </si>
  <si>
    <t xml:space="preserve">Azure Container Registry pricing</t>
  </si>
  <si>
    <t xml:space="preserve">https://azure.microsoft.com/en-us/pricing/details/container-registry/</t>
  </si>
  <si>
    <t xml:space="preserve">Microsoft for Nonprofits - Azure grant ($2,000/yr)</t>
  </si>
  <si>
    <t xml:space="preserve">https://learn.microsoft.com/en-us/industry/nonprofit/microsoft-for-nonprofits/claim-activate-nonprofit-azure-grant</t>
  </si>
  <si>
    <t xml:space="preserve">Google Cloud Storage pricing</t>
  </si>
  <si>
    <t xml:space="preserve">https://cloud.google.com/storage/pricing</t>
  </si>
  <si>
    <t xml:space="preserve">Firestore pricing</t>
  </si>
  <si>
    <t xml:space="preserve">https://cloud.google.com/firestore/pricing</t>
  </si>
  <si>
    <t xml:space="preserve">GCP nonprofit credit ($10,000/yr) - internal UX_AND_GCP_ASSESSMENT.md</t>
  </si>
  <si>
    <t xml:space="preserve">(repo)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</si>
</sst>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\$#,##0;&quot;($&quot;#,##0\);\-"/>
    <numFmt numFmtId="167" formatCode="0&quot; months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sz val="9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50</v>
      </c>
      <c r="C6" s="5" t="s">
        <v>8</v>
      </c>
      <c r="D6" s="7" t="s">
        <v>9</v>
      </c>
    </row>
    <row r="7" customFormat="false" ht="15" hidden="false" customHeight="false" outlineLevel="0" collapsed="false">
      <c r="A7" s="5" t="s">
        <v>10</v>
      </c>
      <c r="B7" s="6" t="n">
        <v>300000</v>
      </c>
      <c r="C7" s="5" t="s">
        <v>11</v>
      </c>
      <c r="D7" s="7" t="s">
        <v>12</v>
      </c>
    </row>
    <row r="8" customFormat="false" ht="15" hidden="false" customHeight="false" outlineLevel="0" collapsed="false">
      <c r="A8" s="5" t="s">
        <v>13</v>
      </c>
      <c r="B8" s="6" t="n">
        <v>30000</v>
      </c>
      <c r="C8" s="5" t="s">
        <v>14</v>
      </c>
      <c r="D8" s="7" t="s">
        <v>15</v>
      </c>
    </row>
    <row r="9" customFormat="false" ht="15" hidden="false" customHeight="false" outlineLevel="0" collapsed="false">
      <c r="A9" s="5" t="s">
        <v>16</v>
      </c>
      <c r="B9" s="6" t="n">
        <v>2</v>
      </c>
      <c r="C9" s="5" t="s">
        <v>17</v>
      </c>
      <c r="D9" s="7" t="s">
        <v>18</v>
      </c>
    </row>
    <row r="10" customFormat="false" ht="15" hidden="false" customHeight="false" outlineLevel="0" collapsed="false">
      <c r="A10" s="5" t="s">
        <v>19</v>
      </c>
      <c r="B10" s="6" t="n">
        <v>100</v>
      </c>
      <c r="C10" s="5" t="s">
        <v>17</v>
      </c>
      <c r="D10" s="7" t="s">
        <v>20</v>
      </c>
    </row>
    <row r="11" customFormat="false" ht="15" hidden="false" customHeight="false" outlineLevel="0" collapsed="false">
      <c r="A11" s="5" t="s">
        <v>21</v>
      </c>
      <c r="B11" s="6" t="n">
        <v>50</v>
      </c>
      <c r="C11" s="5" t="s">
        <v>17</v>
      </c>
      <c r="D11" s="7" t="s">
        <v>22</v>
      </c>
    </row>
    <row r="12" customFormat="false" ht="15" hidden="false" customHeight="false" outlineLevel="0" collapsed="false">
      <c r="A12" s="5" t="s">
        <v>23</v>
      </c>
      <c r="B12" s="6" t="n">
        <v>400000</v>
      </c>
      <c r="C12" s="5" t="s">
        <v>24</v>
      </c>
      <c r="D12" s="7" t="s">
        <v>25</v>
      </c>
    </row>
    <row r="13" customFormat="false" ht="15" hidden="false" customHeight="false" outlineLevel="0" collapsed="false">
      <c r="A13" s="5" t="s">
        <v>26</v>
      </c>
      <c r="B13" s="6" t="n">
        <v>3</v>
      </c>
      <c r="C13" s="5" t="s">
        <v>27</v>
      </c>
      <c r="D13" s="7" t="s">
        <v>28</v>
      </c>
    </row>
    <row r="14" customFormat="false" ht="15" hidden="false" customHeight="false" outlineLevel="0" collapsed="false">
      <c r="A14" s="5" t="s">
        <v>29</v>
      </c>
      <c r="B14" s="6" t="n">
        <v>30</v>
      </c>
      <c r="C14" s="5" t="s">
        <v>30</v>
      </c>
      <c r="D14" s="7" t="s">
        <v>31</v>
      </c>
    </row>
    <row r="16" customFormat="false" ht="15" hidden="false" customHeight="false" outlineLevel="0" collapsed="false">
      <c r="A16" s="3" t="s">
        <v>32</v>
      </c>
    </row>
    <row r="17" customFormat="false" ht="15" hidden="false" customHeight="false" outlineLevel="0" collapsed="false">
      <c r="A17" s="4" t="s">
        <v>33</v>
      </c>
      <c r="B17" s="4" t="s">
        <v>34</v>
      </c>
      <c r="C17" s="4" t="s">
        <v>5</v>
      </c>
      <c r="D17" s="4" t="s">
        <v>6</v>
      </c>
    </row>
    <row r="18" customFormat="false" ht="15" hidden="false" customHeight="false" outlineLevel="0" collapsed="false">
      <c r="A18" s="5" t="s">
        <v>35</v>
      </c>
      <c r="B18" s="8" t="n">
        <v>2.4E-005</v>
      </c>
      <c r="C18" s="5" t="s">
        <v>36</v>
      </c>
      <c r="D18" s="7" t="s">
        <v>37</v>
      </c>
    </row>
    <row r="19" customFormat="false" ht="15" hidden="false" customHeight="false" outlineLevel="0" collapsed="false">
      <c r="A19" s="5" t="s">
        <v>38</v>
      </c>
      <c r="B19" s="8" t="n">
        <v>2.5E-006</v>
      </c>
      <c r="C19" s="5" t="s">
        <v>39</v>
      </c>
      <c r="D19" s="7" t="s">
        <v>40</v>
      </c>
    </row>
    <row r="20" customFormat="false" ht="15" hidden="false" customHeight="false" outlineLevel="0" collapsed="false">
      <c r="A20" s="5" t="s">
        <v>41</v>
      </c>
      <c r="B20" s="8" t="n">
        <v>0.4</v>
      </c>
      <c r="C20" s="5" t="s">
        <v>42</v>
      </c>
      <c r="D20" s="7" t="s">
        <v>43</v>
      </c>
    </row>
    <row r="21" customFormat="false" ht="15" hidden="false" customHeight="false" outlineLevel="0" collapsed="false">
      <c r="A21" s="5" t="s">
        <v>44</v>
      </c>
      <c r="B21" s="8" t="n">
        <v>0.25</v>
      </c>
      <c r="C21" s="5" t="s">
        <v>45</v>
      </c>
      <c r="D21" s="7" t="s">
        <v>46</v>
      </c>
    </row>
    <row r="22" customFormat="false" ht="15" hidden="false" customHeight="false" outlineLevel="0" collapsed="false">
      <c r="A22" s="5" t="s">
        <v>47</v>
      </c>
      <c r="B22" s="8" t="n">
        <v>0.25</v>
      </c>
      <c r="C22" s="5" t="s">
        <v>48</v>
      </c>
      <c r="D22" s="7"/>
    </row>
    <row r="23" customFormat="false" ht="15" hidden="false" customHeight="false" outlineLevel="0" collapsed="false">
      <c r="A23" s="5" t="s">
        <v>49</v>
      </c>
      <c r="B23" s="8" t="n">
        <v>0.018</v>
      </c>
      <c r="C23" s="5" t="s">
        <v>48</v>
      </c>
      <c r="D23" s="7" t="s">
        <v>50</v>
      </c>
    </row>
    <row r="24" customFormat="false" ht="15" hidden="false" customHeight="false" outlineLevel="0" collapsed="false">
      <c r="A24" s="5" t="s">
        <v>51</v>
      </c>
      <c r="B24" s="8" t="n">
        <v>0.087</v>
      </c>
      <c r="C24" s="5" t="s">
        <v>52</v>
      </c>
      <c r="D24" s="7" t="s">
        <v>53</v>
      </c>
    </row>
    <row r="25" customFormat="false" ht="15" hidden="false" customHeight="false" outlineLevel="0" collapsed="false">
      <c r="A25" s="5" t="s">
        <v>54</v>
      </c>
      <c r="B25" s="8" t="n">
        <v>0</v>
      </c>
      <c r="C25" s="5" t="s">
        <v>55</v>
      </c>
      <c r="D25" s="7" t="s">
        <v>56</v>
      </c>
    </row>
    <row r="26" customFormat="false" ht="15" hidden="false" customHeight="false" outlineLevel="0" collapsed="false">
      <c r="A26" s="5" t="s">
        <v>57</v>
      </c>
      <c r="B26" s="8" t="n">
        <v>0</v>
      </c>
      <c r="C26" s="5" t="s">
        <v>55</v>
      </c>
      <c r="D26" s="7" t="s">
        <v>58</v>
      </c>
    </row>
    <row r="27" customFormat="false" ht="15" hidden="false" customHeight="false" outlineLevel="0" collapsed="false">
      <c r="A27" s="5" t="s">
        <v>59</v>
      </c>
      <c r="B27" s="8" t="n">
        <v>0.03</v>
      </c>
      <c r="C27" s="5" t="s">
        <v>60</v>
      </c>
      <c r="D27" s="7"/>
    </row>
    <row r="28" customFormat="false" ht="15" hidden="false" customHeight="false" outlineLevel="0" collapsed="false">
      <c r="A28" s="5" t="s">
        <v>61</v>
      </c>
      <c r="B28" s="9" t="n">
        <v>5</v>
      </c>
      <c r="C28" s="5" t="s">
        <v>55</v>
      </c>
      <c r="D28" s="7" t="s">
        <v>62</v>
      </c>
    </row>
    <row r="29" customFormat="false" ht="15" hidden="false" customHeight="false" outlineLevel="0" collapsed="false">
      <c r="A29" s="5" t="s">
        <v>63</v>
      </c>
      <c r="B29" s="8" t="n">
        <v>0</v>
      </c>
      <c r="C29" s="5" t="s">
        <v>55</v>
      </c>
      <c r="D29" s="7" t="s">
        <v>64</v>
      </c>
    </row>
    <row r="30" customFormat="false" ht="15" hidden="false" customHeight="false" outlineLevel="0" collapsed="false">
      <c r="A30" s="5" t="s">
        <v>65</v>
      </c>
      <c r="B30" s="9" t="n">
        <v>35</v>
      </c>
      <c r="C30" s="5" t="s">
        <v>55</v>
      </c>
      <c r="D30" s="7" t="s">
        <v>66</v>
      </c>
    </row>
    <row r="31" customFormat="false" ht="15" hidden="false" customHeight="false" outlineLevel="0" collapsed="false">
      <c r="A31" s="5" t="s">
        <v>67</v>
      </c>
      <c r="B31" s="8" t="n">
        <v>0</v>
      </c>
      <c r="C31" s="5" t="s">
        <v>55</v>
      </c>
      <c r="D31" s="7" t="s">
        <v>68</v>
      </c>
    </row>
    <row r="32" customFormat="false" ht="15" hidden="false" customHeight="false" outlineLevel="0" collapsed="false">
      <c r="A32" s="5" t="s">
        <v>69</v>
      </c>
      <c r="B32" s="8" t="n">
        <v>0.03</v>
      </c>
      <c r="C32" s="5" t="s">
        <v>70</v>
      </c>
      <c r="D32" s="7"/>
    </row>
    <row r="33" customFormat="false" ht="15" hidden="false" customHeight="false" outlineLevel="0" collapsed="false">
      <c r="A33" s="5" t="s">
        <v>71</v>
      </c>
      <c r="B33" s="8" t="n">
        <v>0.09</v>
      </c>
      <c r="C33" s="5" t="s">
        <v>70</v>
      </c>
      <c r="D33" s="7"/>
    </row>
    <row r="34" customFormat="false" ht="15" hidden="false" customHeight="false" outlineLevel="0" collapsed="false">
      <c r="A34" s="5" t="s">
        <v>72</v>
      </c>
      <c r="B34" s="8" t="n">
        <v>0.18</v>
      </c>
      <c r="C34" s="5" t="s">
        <v>48</v>
      </c>
      <c r="D34" s="7"/>
    </row>
    <row r="35" customFormat="false" ht="15" hidden="false" customHeight="false" outlineLevel="0" collapsed="false">
      <c r="A35" s="5" t="s">
        <v>73</v>
      </c>
      <c r="B35" s="8" t="n">
        <v>0.02</v>
      </c>
      <c r="C35" s="5" t="s">
        <v>48</v>
      </c>
      <c r="D35" s="7"/>
    </row>
    <row r="36" customFormat="false" ht="15" hidden="false" customHeight="false" outlineLevel="0" collapsed="false">
      <c r="A36" s="5" t="s">
        <v>74</v>
      </c>
      <c r="B36" s="8" t="n">
        <v>0.12</v>
      </c>
      <c r="C36" s="5" t="s">
        <v>52</v>
      </c>
      <c r="D36" s="7" t="s">
        <v>75</v>
      </c>
    </row>
    <row r="37" customFormat="false" ht="15" hidden="false" customHeight="false" outlineLevel="0" collapsed="false">
      <c r="A37" s="5" t="s">
        <v>76</v>
      </c>
      <c r="B37" s="8" t="n">
        <v>0</v>
      </c>
      <c r="C37" s="5" t="s">
        <v>55</v>
      </c>
      <c r="D37" s="7" t="s">
        <v>77</v>
      </c>
    </row>
    <row r="38" customFormat="false" ht="15" hidden="false" customHeight="false" outlineLevel="0" collapsed="false">
      <c r="A38" s="5" t="s">
        <v>78</v>
      </c>
      <c r="B38" s="8" t="n">
        <v>0.16</v>
      </c>
      <c r="C38" s="5" t="s">
        <v>55</v>
      </c>
      <c r="D38" s="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6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10" t="s">
        <v>82</v>
      </c>
      <c r="B4" s="10" t="s">
        <v>83</v>
      </c>
      <c r="C4" s="10" t="s">
        <v>84</v>
      </c>
      <c r="D4" s="10" t="s">
        <v>85</v>
      </c>
      <c r="E4" s="10" t="s">
        <v>86</v>
      </c>
    </row>
    <row r="5" customFormat="false" ht="15" hidden="false" customHeight="false" outlineLevel="0" collapsed="false">
      <c r="A5" s="5" t="s">
        <v>87</v>
      </c>
      <c r="B5" s="5" t="s">
        <v>88</v>
      </c>
      <c r="C5" s="5" t="s">
        <v>89</v>
      </c>
      <c r="D5" s="11" t="n">
        <f aca="false">Assumptions!$B$37</f>
        <v>0</v>
      </c>
      <c r="E5" s="11" t="n">
        <f aca="false">Assumptions!$B$25</f>
        <v>0</v>
      </c>
    </row>
    <row r="6" customFormat="false" ht="15" hidden="false" customHeight="false" outlineLevel="0" collapsed="false">
      <c r="A6" s="5" t="s">
        <v>90</v>
      </c>
      <c r="B6" s="5" t="s">
        <v>91</v>
      </c>
      <c r="C6" s="5" t="s">
        <v>92</v>
      </c>
      <c r="D6" s="11" t="n">
        <f aca="false">0</f>
        <v>0</v>
      </c>
      <c r="E6" s="11" t="n">
        <f aca="false">0</f>
        <v>0</v>
      </c>
    </row>
    <row r="7" customFormat="false" ht="15" hidden="false" customHeight="false" outlineLevel="0" collapsed="false">
      <c r="A7" s="5" t="s">
        <v>93</v>
      </c>
      <c r="B7" s="5" t="s">
        <v>91</v>
      </c>
      <c r="C7" s="5" t="s">
        <v>92</v>
      </c>
      <c r="D7" s="11" t="n">
        <f aca="false">0</f>
        <v>0</v>
      </c>
      <c r="E7" s="11" t="n">
        <f aca="false">0</f>
        <v>0</v>
      </c>
    </row>
    <row r="8" customFormat="false" ht="15" hidden="false" customHeight="false" outlineLevel="0" collapsed="false">
      <c r="A8" s="5" t="s">
        <v>94</v>
      </c>
      <c r="B8" s="5" t="s">
        <v>95</v>
      </c>
      <c r="C8" s="5" t="s">
        <v>96</v>
      </c>
      <c r="D8" s="11" t="n">
        <f aca="false">0</f>
        <v>0</v>
      </c>
      <c r="E8" s="11" t="n">
        <f aca="false">0</f>
        <v>0</v>
      </c>
    </row>
    <row r="9" customFormat="false" ht="15" hidden="false" customHeight="false" outlineLevel="0" collapsed="false">
      <c r="A9" s="5" t="s">
        <v>97</v>
      </c>
      <c r="B9" s="5" t="s">
        <v>98</v>
      </c>
      <c r="C9" s="5" t="s">
        <v>99</v>
      </c>
      <c r="D9" s="11" t="n">
        <f aca="false">Assumptions!$B$7/100000*Assumptions!$B$32+Assumptions!$B$8/100000*Assumptions!$B$33+Assumptions!$B$9*Assumptions!$B$34</f>
        <v>0.477</v>
      </c>
      <c r="E9" s="11" t="n">
        <f aca="false">(Assumptions!$B$7*1+Assumptions!$B$8*5)/1000000*Assumptions!$B$21+Assumptions!$B$9*Assumptions!$B$22</f>
        <v>0.6125</v>
      </c>
    </row>
    <row r="10" customFormat="false" ht="15" hidden="false" customHeight="false" outlineLevel="0" collapsed="false">
      <c r="A10" s="5" t="s">
        <v>100</v>
      </c>
      <c r="B10" s="5" t="s">
        <v>101</v>
      </c>
      <c r="C10" s="5" t="s">
        <v>102</v>
      </c>
      <c r="D10" s="11" t="n">
        <f aca="false">0</f>
        <v>0</v>
      </c>
      <c r="E10" s="11" t="n">
        <f aca="false">0</f>
        <v>0</v>
      </c>
    </row>
    <row r="11" customFormat="false" ht="15" hidden="false" customHeight="false" outlineLevel="0" collapsed="false">
      <c r="A11" s="5" t="s">
        <v>103</v>
      </c>
      <c r="B11" s="5" t="s">
        <v>104</v>
      </c>
      <c r="C11" s="5" t="s">
        <v>105</v>
      </c>
      <c r="D11" s="11" t="n">
        <f aca="false">Assumptions!$B$10*Assumptions!$B$35</f>
        <v>2</v>
      </c>
      <c r="E11" s="11" t="n">
        <f aca="false">Assumptions!$B$10*Assumptions!$B$23</f>
        <v>1.8</v>
      </c>
    </row>
    <row r="12" customFormat="false" ht="15" hidden="false" customHeight="false" outlineLevel="0" collapsed="false">
      <c r="A12" s="5" t="s">
        <v>106</v>
      </c>
      <c r="B12" s="5" t="s">
        <v>107</v>
      </c>
      <c r="C12" s="5" t="s">
        <v>108</v>
      </c>
      <c r="D12" s="11" t="n">
        <f aca="false">Assumptions!$B$11*Assumptions!$B$36</f>
        <v>6</v>
      </c>
      <c r="E12" s="11" t="n">
        <f aca="false">MAX(0,Assumptions!$B$11-100)*Assumptions!$B$24</f>
        <v>0</v>
      </c>
    </row>
    <row r="13" customFormat="false" ht="15" hidden="false" customHeight="false" outlineLevel="0" collapsed="false">
      <c r="A13" s="5" t="s">
        <v>109</v>
      </c>
      <c r="B13" s="5" t="s">
        <v>110</v>
      </c>
      <c r="C13" s="5" t="s">
        <v>111</v>
      </c>
      <c r="D13" s="11" t="n">
        <f aca="false">0.06</f>
        <v>0.06</v>
      </c>
      <c r="E13" s="11" t="n">
        <f aca="false">0.05</f>
        <v>0.05</v>
      </c>
    </row>
    <row r="14" customFormat="false" ht="15" hidden="false" customHeight="false" outlineLevel="0" collapsed="false">
      <c r="A14" s="5" t="s">
        <v>112</v>
      </c>
      <c r="B14" s="5" t="s">
        <v>113</v>
      </c>
      <c r="C14" s="5" t="s">
        <v>114</v>
      </c>
      <c r="D14" s="11" t="n">
        <f aca="false">0.1</f>
        <v>0.1</v>
      </c>
      <c r="E14" s="11" t="n">
        <f aca="false">Assumptions!$B$28</f>
        <v>5</v>
      </c>
    </row>
    <row r="15" customFormat="false" ht="15" hidden="false" customHeight="false" outlineLevel="0" collapsed="false">
      <c r="A15" s="5" t="s">
        <v>115</v>
      </c>
      <c r="B15" s="5" t="s">
        <v>116</v>
      </c>
      <c r="C15" s="5" t="s">
        <v>117</v>
      </c>
      <c r="D15" s="11" t="n">
        <f aca="false">0</f>
        <v>0</v>
      </c>
      <c r="E15" s="11" t="n">
        <f aca="false">0</f>
        <v>0</v>
      </c>
    </row>
    <row r="16" customFormat="false" ht="15" hidden="false" customHeight="false" outlineLevel="0" collapsed="false">
      <c r="A16" s="12" t="s">
        <v>118</v>
      </c>
      <c r="B16" s="13"/>
      <c r="C16" s="13"/>
      <c r="D16" s="14" t="n">
        <f aca="false">SUM(D5:D15)</f>
        <v>8.637</v>
      </c>
      <c r="E16" s="14" t="n">
        <f aca="false">SUM(E5:E15)</f>
        <v>7.4625</v>
      </c>
    </row>
    <row r="17" customFormat="false" ht="15" hidden="false" customHeight="false" outlineLevel="0" collapsed="false">
      <c r="A17" s="15" t="s">
        <v>119</v>
      </c>
      <c r="B17" s="16"/>
      <c r="C17" s="16"/>
      <c r="D17" s="17" t="n">
        <f aca="false">0</f>
        <v>0</v>
      </c>
      <c r="E17" s="17" t="n">
        <f aca="false">0</f>
        <v>0</v>
      </c>
    </row>
    <row r="19" customFormat="false" ht="15" hidden="false" customHeight="false" outlineLevel="0" collapsed="false">
      <c r="A19" s="18" t="s">
        <v>120</v>
      </c>
    </row>
    <row r="20" customFormat="false" ht="15" hidden="false" customHeight="false" outlineLevel="0" collapsed="false">
      <c r="A20" s="2" t="s">
        <v>121</v>
      </c>
    </row>
    <row r="21" customFormat="false" ht="15" hidden="false" customHeight="false" outlineLevel="0" collapsed="false">
      <c r="A21" s="2" t="s">
        <v>122</v>
      </c>
    </row>
    <row r="22" customFormat="false" ht="15" hidden="false" customHeight="false" outlineLevel="0" collapsed="false">
      <c r="A22" s="2" t="s">
        <v>123</v>
      </c>
    </row>
    <row r="23" customFormat="false" ht="15" hidden="false" customHeight="false" outlineLevel="0" collapsed="false">
      <c r="A23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3" t="s">
        <v>127</v>
      </c>
    </row>
    <row r="5" customFormat="false" ht="15" hidden="false" customHeight="false" outlineLevel="0" collapsed="false">
      <c r="A5" s="0" t="s">
        <v>128</v>
      </c>
      <c r="B5" s="19" t="n">
        <v>100</v>
      </c>
    </row>
    <row r="6" customFormat="false" ht="15" hidden="false" customHeight="false" outlineLevel="0" collapsed="false">
      <c r="A6" s="0" t="s">
        <v>129</v>
      </c>
      <c r="B6" s="19" t="n">
        <v>65</v>
      </c>
      <c r="C6" s="2" t="s">
        <v>130</v>
      </c>
    </row>
    <row r="7" customFormat="false" ht="15" hidden="false" customHeight="false" outlineLevel="0" collapsed="false">
      <c r="A7" s="18" t="s">
        <v>131</v>
      </c>
      <c r="B7" s="20" t="n">
        <f aca="false">B5-B6</f>
        <v>35</v>
      </c>
    </row>
    <row r="9" customFormat="false" ht="15" hidden="false" customHeight="false" outlineLevel="0" collapsed="false">
      <c r="A9" s="3" t="s">
        <v>132</v>
      </c>
    </row>
    <row r="10" customFormat="false" ht="15" hidden="false" customHeight="false" outlineLevel="0" collapsed="false">
      <c r="A10" s="4" t="s">
        <v>133</v>
      </c>
      <c r="B10" s="4" t="s">
        <v>55</v>
      </c>
      <c r="C10" s="4" t="s">
        <v>134</v>
      </c>
    </row>
    <row r="11" customFormat="false" ht="15" hidden="false" customHeight="false" outlineLevel="0" collapsed="false">
      <c r="A11" s="5" t="s">
        <v>135</v>
      </c>
      <c r="B11" s="8" t="n">
        <v>0</v>
      </c>
      <c r="C11" s="21" t="s">
        <v>136</v>
      </c>
    </row>
    <row r="12" customFormat="false" ht="15" hidden="false" customHeight="false" outlineLevel="0" collapsed="false">
      <c r="A12" s="5" t="s">
        <v>137</v>
      </c>
      <c r="B12" s="8" t="n">
        <v>0</v>
      </c>
      <c r="C12" s="21" t="s">
        <v>138</v>
      </c>
    </row>
    <row r="13" customFormat="false" ht="15" hidden="false" customHeight="false" outlineLevel="0" collapsed="false">
      <c r="A13" s="5" t="s">
        <v>139</v>
      </c>
      <c r="B13" s="8" t="n">
        <v>0</v>
      </c>
      <c r="C13" s="21" t="s">
        <v>140</v>
      </c>
    </row>
    <row r="14" customFormat="false" ht="15" hidden="false" customHeight="false" outlineLevel="0" collapsed="false">
      <c r="A14" s="5" t="s">
        <v>141</v>
      </c>
      <c r="B14" s="8" t="n">
        <v>1</v>
      </c>
      <c r="C14" s="21" t="s">
        <v>142</v>
      </c>
    </row>
    <row r="15" customFormat="false" ht="15" hidden="false" customHeight="false" outlineLevel="0" collapsed="false">
      <c r="A15" s="5" t="s">
        <v>143</v>
      </c>
      <c r="B15" s="8" t="n">
        <v>0</v>
      </c>
      <c r="C15" s="21" t="s">
        <v>144</v>
      </c>
    </row>
    <row r="16" customFormat="false" ht="15" hidden="false" customHeight="false" outlineLevel="0" collapsed="false">
      <c r="A16" s="5" t="s">
        <v>145</v>
      </c>
      <c r="B16" s="8" t="n">
        <v>0</v>
      </c>
      <c r="C16" s="21" t="s">
        <v>146</v>
      </c>
    </row>
    <row r="17" customFormat="false" ht="15" hidden="false" customHeight="false" outlineLevel="0" collapsed="false">
      <c r="A17" s="5" t="s">
        <v>111</v>
      </c>
      <c r="B17" s="8" t="n">
        <v>0.05</v>
      </c>
      <c r="C17" s="21" t="s">
        <v>147</v>
      </c>
    </row>
    <row r="18" customFormat="false" ht="15" hidden="false" customHeight="false" outlineLevel="0" collapsed="false">
      <c r="A18" s="5" t="s">
        <v>148</v>
      </c>
      <c r="B18" s="8" t="n">
        <v>0</v>
      </c>
      <c r="C18" s="21" t="s">
        <v>149</v>
      </c>
    </row>
    <row r="19" customFormat="false" ht="15" hidden="false" customHeight="false" outlineLevel="0" collapsed="false">
      <c r="A19" s="5" t="s">
        <v>150</v>
      </c>
      <c r="B19" s="8" t="n">
        <v>0</v>
      </c>
      <c r="C19" s="21" t="s">
        <v>151</v>
      </c>
    </row>
    <row r="20" customFormat="false" ht="15" hidden="false" customHeight="false" outlineLevel="0" collapsed="false">
      <c r="A20" s="5" t="s">
        <v>152</v>
      </c>
      <c r="B20" s="8" t="n">
        <v>0</v>
      </c>
      <c r="C20" s="21" t="s">
        <v>153</v>
      </c>
    </row>
    <row r="21" customFormat="false" ht="15" hidden="false" customHeight="false" outlineLevel="0" collapsed="false">
      <c r="A21" s="12" t="s">
        <v>154</v>
      </c>
      <c r="B21" s="14" t="n">
        <f aca="false">SUM(B11:B20)</f>
        <v>1.05</v>
      </c>
      <c r="C21" s="13"/>
    </row>
    <row r="22" customFormat="false" ht="15" hidden="false" customHeight="false" outlineLevel="0" collapsed="false">
      <c r="A22" s="15" t="s">
        <v>155</v>
      </c>
      <c r="B22" s="17" t="n">
        <f aca="false">0</f>
        <v>0</v>
      </c>
      <c r="C22" s="16" t="s">
        <v>156</v>
      </c>
    </row>
    <row r="23" customFormat="false" ht="15" hidden="false" customHeight="false" outlineLevel="0" collapsed="false">
      <c r="A23" s="22" t="s">
        <v>157</v>
      </c>
      <c r="B23" s="23" t="n">
        <f aca="false">B6+B21</f>
        <v>66.05</v>
      </c>
      <c r="C23" s="24" t="str">
        <f aca="false">IF(B23&lt;=B5,"UNDER $100 - OK","OVER - cut levers")</f>
        <v>UNDER $100 - OK</v>
      </c>
    </row>
    <row r="25" customFormat="false" ht="15" hidden="false" customHeight="false" outlineLevel="0" collapsed="false">
      <c r="A25" s="3" t="s">
        <v>158</v>
      </c>
    </row>
    <row r="26" customFormat="false" ht="15" hidden="false" customHeight="false" outlineLevel="0" collapsed="false">
      <c r="A26" s="0" t="s">
        <v>159</v>
      </c>
      <c r="B26" s="19" t="n">
        <v>2000</v>
      </c>
    </row>
    <row r="27" customFormat="false" ht="15" hidden="false" customHeight="false" outlineLevel="0" collapsed="false">
      <c r="A27" s="0" t="s">
        <v>160</v>
      </c>
      <c r="B27" s="25" t="n">
        <f aca="false">B21*12</f>
        <v>12.6</v>
      </c>
    </row>
    <row r="28" customFormat="false" ht="15" hidden="false" customHeight="false" outlineLevel="0" collapsed="false">
      <c r="A28" s="0" t="s">
        <v>161</v>
      </c>
      <c r="B28" s="26" t="n">
        <f aca="false">IF(B21=0,999,B26/B21)</f>
        <v>1904.7619047619</v>
      </c>
    </row>
    <row r="30" customFormat="false" ht="15" hidden="false" customHeight="false" outlineLevel="0" collapsed="false">
      <c r="A30" s="18" t="s">
        <v>162</v>
      </c>
    </row>
    <row r="31" customFormat="false" ht="15" hidden="false" customHeight="false" outlineLevel="0" collapsed="false">
      <c r="A31" s="27" t="s">
        <v>163</v>
      </c>
    </row>
    <row r="32" customFormat="false" ht="15" hidden="false" customHeight="false" outlineLevel="0" collapsed="false">
      <c r="A32" s="27" t="s">
        <v>164</v>
      </c>
    </row>
    <row r="33" customFormat="false" ht="15" hidden="false" customHeight="false" outlineLevel="0" collapsed="false">
      <c r="A33" s="27" t="s">
        <v>165</v>
      </c>
    </row>
    <row r="34" customFormat="false" ht="15" hidden="false" customHeight="false" outlineLevel="0" collapsed="false">
      <c r="A34" s="27" t="s">
        <v>166</v>
      </c>
    </row>
    <row r="35" customFormat="false" ht="15" hidden="false" customHeight="false" outlineLevel="0" collapsed="false">
      <c r="A35" s="2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168</v>
      </c>
    </row>
    <row r="3" customFormat="false" ht="15" hidden="false" customHeight="false" outlineLevel="0" collapsed="false">
      <c r="A3" s="27" t="s">
        <v>169</v>
      </c>
      <c r="B3" s="28" t="s">
        <v>170</v>
      </c>
    </row>
    <row r="4" customFormat="false" ht="15" hidden="false" customHeight="false" outlineLevel="0" collapsed="false">
      <c r="A4" s="27" t="s">
        <v>171</v>
      </c>
      <c r="B4" s="28" t="s">
        <v>172</v>
      </c>
    </row>
    <row r="5" customFormat="false" ht="15" hidden="false" customHeight="false" outlineLevel="0" collapsed="false">
      <c r="A5" s="27" t="s">
        <v>173</v>
      </c>
      <c r="B5" s="28" t="s">
        <v>174</v>
      </c>
    </row>
    <row r="6" customFormat="false" ht="15" hidden="false" customHeight="false" outlineLevel="0" collapsed="false">
      <c r="A6" s="27" t="s">
        <v>175</v>
      </c>
      <c r="B6" s="28" t="s">
        <v>176</v>
      </c>
    </row>
    <row r="7" customFormat="false" ht="15" hidden="false" customHeight="false" outlineLevel="0" collapsed="false">
      <c r="A7" s="27" t="s">
        <v>177</v>
      </c>
      <c r="B7" s="28" t="s">
        <v>178</v>
      </c>
    </row>
    <row r="8" customFormat="false" ht="15" hidden="false" customHeight="false" outlineLevel="0" collapsed="false">
      <c r="A8" s="27" t="s">
        <v>179</v>
      </c>
      <c r="B8" s="28" t="s">
        <v>180</v>
      </c>
    </row>
    <row r="9" customFormat="false" ht="15" hidden="false" customHeight="false" outlineLevel="0" collapsed="false">
      <c r="A9" s="27" t="s">
        <v>181</v>
      </c>
      <c r="B9" s="28" t="s">
        <v>182</v>
      </c>
    </row>
    <row r="10" customFormat="false" ht="15" hidden="false" customHeight="false" outlineLevel="0" collapsed="false">
      <c r="A10" s="27" t="s">
        <v>183</v>
      </c>
      <c r="B10" s="28" t="s">
        <v>184</v>
      </c>
    </row>
    <row r="11" customFormat="false" ht="15" hidden="false" customHeight="false" outlineLevel="0" collapsed="false">
      <c r="A11" s="27" t="s">
        <v>185</v>
      </c>
      <c r="B11" s="28" t="s">
        <v>186</v>
      </c>
    </row>
    <row r="12" customFormat="false" ht="15" hidden="false" customHeight="false" outlineLevel="0" collapsed="false">
      <c r="A12" s="27" t="s">
        <v>187</v>
      </c>
      <c r="B12" s="28" t="s">
        <v>188</v>
      </c>
    </row>
    <row r="13" customFormat="false" ht="15" hidden="false" customHeight="false" outlineLevel="0" collapsed="false">
      <c r="A13" s="27" t="s">
        <v>189</v>
      </c>
      <c r="B13" s="28" t="s">
        <v>190</v>
      </c>
    </row>
    <row r="14" customFormat="false" ht="15" hidden="false" customHeight="false" outlineLevel="0" collapsed="false">
      <c r="A14" s="27" t="s">
        <v>191</v>
      </c>
      <c r="B14" s="28" t="s">
        <v>192</v>
      </c>
    </row>
    <row r="15" customFormat="false" ht="15" hidden="false" customHeight="false" outlineLevel="0" collapsed="false">
      <c r="A15" s="27" t="s">
        <v>193</v>
      </c>
      <c r="B15" s="28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2026-06-19T03:23:14Z</dcterms:created>
  <dc:creator>openpyxl</dc:creator>
  <dc:description/>
  <dc:language>en-US</dc:language>
  <cp:lastModifiedBy/>
  <dcterms:modified xsi:type="dcterms:W3CDTF">2026-06-19T03:23:14Z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